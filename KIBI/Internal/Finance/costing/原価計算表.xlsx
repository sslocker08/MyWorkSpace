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価・チャネル別粗利" sheetId="1" state="visible" r:id="rId1"/>
    <sheet xmlns:r="http://schemas.openxmlformats.org/officeDocument/2006/relationships" name="ロット別原価ログ" sheetId="2" state="visible" r:id="rId2"/>
    <sheet xmlns:r="http://schemas.openxmlformats.org/officeDocument/2006/relationships" name="委託コミッション早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&quot;-&quot;"/>
    <numFmt numFmtId="165" formatCode="0.0%"/>
  </numFmts>
  <fonts count="10">
    <font>
      <name val="Calibri"/>
      <family val="2"/>
      <color theme="1"/>
      <sz val="11"/>
      <scheme val="minor"/>
    </font>
    <font>
      <name val="Yu Gothic"/>
      <b val="1"/>
      <color rgb="001F1F1F"/>
      <sz val="14"/>
    </font>
    <font>
      <name val="Yu Gothic"/>
      <color rgb="00595959"/>
      <sz val="9"/>
    </font>
    <font>
      <name val="Yu Gothic"/>
      <b val="1"/>
      <color rgb="001F1F1F"/>
      <sz val="11"/>
    </font>
    <font>
      <name val="Yu Gothic"/>
      <color rgb="001F1F1F"/>
      <sz val="10"/>
    </font>
    <font>
      <name val="Yu Gothic"/>
      <color rgb="000000FF"/>
      <sz val="10"/>
    </font>
    <font>
      <name val="Yu Gothic"/>
      <b val="1"/>
      <color rgb="00FFFFFF"/>
      <sz val="10"/>
    </font>
    <font>
      <name val="Yu Gothic"/>
      <b val="1"/>
      <color rgb="001F1F1F"/>
      <sz val="10"/>
    </font>
    <font>
      <name val="Yu Gothic"/>
      <b val="1"/>
      <sz val="10"/>
    </font>
    <font>
      <name val="Yu Gothic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7" fillId="4" borderId="1" pivotButton="0" quotePrefix="0" xfId="0"/>
    <xf numFmtId="164" fontId="8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1" pivotButton="0" quotePrefix="0" xfId="0"/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7" fillId="4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7" fillId="0" borderId="0" pivotButton="0" quotePrefix="0" xfId="0"/>
    <xf numFmtId="165" fontId="7" fillId="2" borderId="0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経理</author>
  </authors>
  <commentList>
    <comment ref="F27" authorId="0" shapeId="0">
      <text>
        <t>仮値¥800。自社負担の実送料に置換してください。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</cols>
  <sheetData>
    <row r="1">
      <c r="A1" s="1" t="inlineStr">
        <is>
          <t>KIBI 原価計算表 ／ チャネル別粗利</t>
        </is>
      </c>
    </row>
    <row r="2">
      <c r="A2" s="2" t="inlineStr">
        <is>
          <t>作成日 2026-06-11 ・ 単位：1本あたり ・ 通貨：円（税込ベース）</t>
        </is>
      </c>
    </row>
    <row r="4">
      <c r="A4" s="3" t="inlineStr">
        <is>
          <t>【前提】</t>
        </is>
      </c>
    </row>
    <row r="5">
      <c r="A5" s="4" t="inlineStr">
        <is>
          <t>容量・賦香率</t>
        </is>
      </c>
      <c r="B5" s="4" t="inlineStr">
        <is>
          <t>50ml EDP / 賦香率15%</t>
        </is>
      </c>
    </row>
    <row r="6">
      <c r="A6" s="4" t="inlineStr">
        <is>
          <t>製造ロット</t>
        </is>
      </c>
      <c r="B6" s="4" t="inlineStr">
        <is>
          <t>50本/種（初回 各50本×3種=150本）</t>
        </is>
      </c>
    </row>
    <row r="7">
      <c r="A7" s="4" t="inlineStr">
        <is>
          <t>売価（店頭・直販, 税込）</t>
        </is>
      </c>
      <c r="B7" s="5" t="n">
        <v>14300</v>
      </c>
    </row>
    <row r="8">
      <c r="A8" s="4" t="inlineStr">
        <is>
          <t>公式通販価格（税込・送料込み）</t>
        </is>
      </c>
      <c r="B8" s="5" t="n">
        <v>15000</v>
      </c>
    </row>
    <row r="9">
      <c r="A9" s="4" t="inlineStr">
        <is>
          <t>Stripe手数料率</t>
        </is>
      </c>
      <c r="B9" s="6" t="n">
        <v>0.036</v>
      </c>
    </row>
    <row r="10">
      <c r="A10" s="4" t="inlineStr">
        <is>
          <t>香福論マージン率（阪急）</t>
        </is>
      </c>
      <c r="B10" s="6" t="n">
        <v>0.33</v>
      </c>
    </row>
    <row r="11">
      <c r="A11" s="4" t="inlineStr">
        <is>
          <t>課税区分</t>
        </is>
      </c>
      <c r="B11" s="7" t="inlineStr">
        <is>
          <t>免税事業者前提（税込＝売上計上）※確定申告時に要確認</t>
        </is>
      </c>
    </row>
    <row r="13">
      <c r="A13" s="3" t="inlineStr">
        <is>
          <t>【1本あたり 製造原価】</t>
        </is>
      </c>
    </row>
    <row r="14">
      <c r="A14" s="8" t="inlineStr">
        <is>
          <t>原価要素</t>
        </is>
      </c>
      <c r="B14" s="8" t="inlineStr">
        <is>
          <t>金額(¥)</t>
        </is>
      </c>
      <c r="C14" s="9" t="inlineStr">
        <is>
          <t>備考</t>
        </is>
      </c>
    </row>
    <row r="15">
      <c r="A15" s="10" t="inlineStr">
        <is>
          <t>ボトル3点セット（ガラス＋木製キャップ＋スプレーノズル）</t>
        </is>
      </c>
      <c r="B15" s="11" t="n">
        <v>300</v>
      </c>
      <c r="C15" s="2" t="inlineStr">
        <is>
          <t>ピノーレ／入力</t>
        </is>
      </c>
    </row>
    <row r="16">
      <c r="A16" s="10" t="inlineStr">
        <is>
          <t>桐箱</t>
        </is>
      </c>
      <c r="B16" s="11" t="n">
        <v>500</v>
      </c>
      <c r="C16" s="2" t="inlineStr">
        <is>
          <t>入力</t>
        </is>
      </c>
    </row>
    <row r="17">
      <c r="A17" s="10" t="inlineStr">
        <is>
          <t>充填費</t>
        </is>
      </c>
      <c r="B17" s="11" t="n">
        <v>1000</v>
      </c>
      <c r="C17" s="2" t="inlineStr">
        <is>
          <t>入力</t>
        </is>
      </c>
    </row>
    <row r="18">
      <c r="A18" s="10" t="inlineStr">
        <is>
          <t>ボトル印刷費</t>
        </is>
      </c>
      <c r="B18" s="11" t="n">
        <v>500</v>
      </c>
      <c r="C18" s="2" t="inlineStr">
        <is>
          <t>入力</t>
        </is>
      </c>
    </row>
    <row r="19">
      <c r="A19" s="10" t="inlineStr">
        <is>
          <t>香料代</t>
        </is>
      </c>
      <c r="B19" s="12" t="n">
        <v>800</v>
      </c>
      <c r="C19" s="2" t="inlineStr">
        <is>
          <t>セントピア／ロットごと変動（香料相場）</t>
        </is>
      </c>
    </row>
    <row r="20">
      <c r="A20" s="10" t="inlineStr">
        <is>
          <t>エタノール</t>
        </is>
      </c>
      <c r="B20" s="11" t="n">
        <v>0</v>
      </c>
      <c r="C20" s="2" t="inlineStr">
        <is>
          <t>単価設定なし</t>
        </is>
      </c>
    </row>
    <row r="21">
      <c r="A21" s="13" t="inlineStr">
        <is>
          <t>製造原価 合計</t>
        </is>
      </c>
      <c r="B21" s="14">
        <f>SUM(B15:B20)</f>
        <v/>
      </c>
    </row>
    <row r="23">
      <c r="A23" s="3" t="inlineStr">
        <is>
          <t>【チャネル別 1本あたり 粗利】</t>
        </is>
      </c>
    </row>
    <row r="24" ht="30" customHeight="1">
      <c r="A24" s="8" t="inlineStr">
        <is>
          <t>チャネル</t>
        </is>
      </c>
      <c r="B24" s="8" t="inlineStr">
        <is>
          <t>顧客支払(¥)</t>
        </is>
      </c>
      <c r="C24" s="8" t="inlineStr">
        <is>
          <t>手数料/
マージン(¥)</t>
        </is>
      </c>
      <c r="D24" s="8" t="inlineStr">
        <is>
          <t>入金額(¥)</t>
        </is>
      </c>
      <c r="E24" s="8" t="inlineStr">
        <is>
          <t>製造原価(¥)</t>
        </is>
      </c>
      <c r="F24" s="8" t="inlineStr">
        <is>
          <t>送料(¥)</t>
        </is>
      </c>
      <c r="G24" s="8" t="inlineStr">
        <is>
          <t>粗利/本(¥)</t>
        </is>
      </c>
      <c r="H24" s="8" t="inlineStr">
        <is>
          <t>粗利率</t>
        </is>
      </c>
    </row>
    <row r="25">
      <c r="A25" s="10" t="inlineStr">
        <is>
          <t>香福論（店頭/リモオーダー）</t>
        </is>
      </c>
      <c r="B25" s="15">
        <f>B7</f>
        <v/>
      </c>
      <c r="C25" s="15">
        <f>B25*$B$10</f>
        <v/>
      </c>
      <c r="D25" s="15">
        <f>B25-C25</f>
        <v/>
      </c>
      <c r="E25" s="15">
        <f>$B$21</f>
        <v/>
      </c>
      <c r="F25" s="15" t="n">
        <v>0</v>
      </c>
      <c r="G25" s="16">
        <f>D25-E25-F25</f>
        <v/>
      </c>
      <c r="H25" s="17">
        <f>IF(D25=0,0,G25/D25)</f>
        <v/>
      </c>
    </row>
    <row r="26">
      <c r="A26" s="10" t="inlineStr">
        <is>
          <t>直販</t>
        </is>
      </c>
      <c r="B26" s="15">
        <f>B7</f>
        <v/>
      </c>
      <c r="C26" s="15" t="n">
        <v>0</v>
      </c>
      <c r="D26" s="15">
        <f>B26-C26</f>
        <v/>
      </c>
      <c r="E26" s="15">
        <f>$B$21</f>
        <v/>
      </c>
      <c r="F26" s="15" t="n">
        <v>0</v>
      </c>
      <c r="G26" s="16">
        <f>D26-E26-F26</f>
        <v/>
      </c>
      <c r="H26" s="17">
        <f>IF(D26=0,0,G26/D26)</f>
        <v/>
      </c>
    </row>
    <row r="27">
      <c r="A27" s="10" t="inlineStr">
        <is>
          <t>公式通販EC</t>
        </is>
      </c>
      <c r="B27" s="15">
        <f>B8</f>
        <v/>
      </c>
      <c r="C27" s="15">
        <f>B27*$B$9</f>
        <v/>
      </c>
      <c r="D27" s="15">
        <f>B27-C27</f>
        <v/>
      </c>
      <c r="E27" s="15">
        <f>$B$21</f>
        <v/>
      </c>
      <c r="F27" s="18" t="n">
        <v>800</v>
      </c>
      <c r="G27" s="16">
        <f>D27-E27-F27</f>
        <v/>
      </c>
      <c r="H27" s="17">
        <f>IF(D27=0,0,G27/D27)</f>
        <v/>
      </c>
    </row>
    <row r="29">
      <c r="A29" s="2" t="inlineStr">
        <is>
          <t>※ 香料代（B19）はロットごとに変動（香料相場）。最新ロットは「ロット別原価ログ」シートを参照。</t>
        </is>
      </c>
    </row>
    <row r="30">
      <c r="A30" s="2" t="inlineStr">
        <is>
          <t>※ EC送料（F27）は仮値¥800。自社負担の実額に置換すると粗利が正確化。</t>
        </is>
      </c>
    </row>
    <row r="31">
      <c r="A31" s="2" t="inlineStr">
        <is>
          <t>※ 粗利率＝粗利÷入金額。税込ベース（免税事業者前提）。課税事業者の場合は税抜で再計算。</t>
        </is>
      </c>
    </row>
    <row r="32">
      <c r="A32" s="2" t="inlineStr">
        <is>
          <t>※ 青字＝入力値（ここを変える）／黒字＝自動計算／黄色＝要対応・要確認。</t>
        </is>
      </c>
    </row>
  </sheetData>
  <mergeCells count="14">
    <mergeCell ref="C20:H20"/>
    <mergeCell ref="C16:H16"/>
    <mergeCell ref="C19:H19"/>
    <mergeCell ref="A30:H30"/>
    <mergeCell ref="A29:H29"/>
    <mergeCell ref="C14:H14"/>
    <mergeCell ref="A2:H2"/>
    <mergeCell ref="B11:F11"/>
    <mergeCell ref="C17:H17"/>
    <mergeCell ref="C18:H18"/>
    <mergeCell ref="A1:H1"/>
    <mergeCell ref="A32:H32"/>
    <mergeCell ref="A31:H31"/>
    <mergeCell ref="C15:H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4" customWidth="1" min="12" max="12"/>
    <col width="18" customWidth="1" min="13" max="13"/>
  </cols>
  <sheetData>
    <row r="1">
      <c r="A1" s="1" t="inlineStr">
        <is>
          <t>ロット別 原価ログ ── 原価はロットごとに変動（香料相場・仕入条件）。製造のたびに1行追記。</t>
        </is>
      </c>
    </row>
    <row r="3">
      <c r="A3" s="8" t="inlineStr">
        <is>
          <t>ロットID</t>
        </is>
      </c>
      <c r="B3" s="8" t="inlineStr">
        <is>
          <t>製造時期</t>
        </is>
      </c>
      <c r="C3" s="8" t="inlineStr">
        <is>
          <t>製品</t>
        </is>
      </c>
      <c r="D3" s="8" t="inlineStr">
        <is>
          <t>本数</t>
        </is>
      </c>
      <c r="E3" s="8" t="inlineStr">
        <is>
          <t>ボトル3点(¥)</t>
        </is>
      </c>
      <c r="F3" s="8" t="inlineStr">
        <is>
          <t>桐箱(¥)</t>
        </is>
      </c>
      <c r="G3" s="8" t="inlineStr">
        <is>
          <t>充填(¥)</t>
        </is>
      </c>
      <c r="H3" s="8" t="inlineStr">
        <is>
          <t>印刷(¥)</t>
        </is>
      </c>
      <c r="I3" s="8" t="inlineStr">
        <is>
          <t>香料(¥)</t>
        </is>
      </c>
      <c r="J3" s="8" t="inlineStr">
        <is>
          <t>エタノール(¥)</t>
        </is>
      </c>
      <c r="K3" s="8" t="inlineStr">
        <is>
          <t>製造原価/本(¥)</t>
        </is>
      </c>
      <c r="L3" s="8" t="inlineStr">
        <is>
          <t>ロット総額(¥)</t>
        </is>
      </c>
      <c r="M3" s="8" t="inlineStr">
        <is>
          <t>備考</t>
        </is>
      </c>
    </row>
    <row r="4">
      <c r="A4" s="19" t="inlineStr">
        <is>
          <t>LOT-2026-001</t>
        </is>
      </c>
      <c r="B4" s="20" t="inlineStr">
        <is>
          <t>2026-03</t>
        </is>
      </c>
      <c r="C4" s="19" t="inlineStr">
        <is>
          <t>01 SOU-ODORI</t>
        </is>
      </c>
      <c r="D4" s="21" t="n">
        <v>50</v>
      </c>
      <c r="E4" s="11" t="n">
        <v>300</v>
      </c>
      <c r="F4" s="11" t="n">
        <v>500</v>
      </c>
      <c r="G4" s="11" t="n">
        <v>1000</v>
      </c>
      <c r="H4" s="11" t="n">
        <v>500</v>
      </c>
      <c r="I4" s="11" t="n">
        <v>800</v>
      </c>
      <c r="J4" s="11" t="n">
        <v>0</v>
      </c>
      <c r="K4" s="15">
        <f>SUM(E4:J4)</f>
        <v/>
      </c>
      <c r="L4" s="15">
        <f>K4*D4</f>
        <v/>
      </c>
      <c r="M4" s="22" t="inlineStr">
        <is>
          <t>初回製造</t>
        </is>
      </c>
    </row>
    <row r="5">
      <c r="A5" s="19" t="inlineStr">
        <is>
          <t>LOT-2026-001</t>
        </is>
      </c>
      <c r="B5" s="20" t="inlineStr">
        <is>
          <t>2026-03</t>
        </is>
      </c>
      <c r="C5" s="19" t="inlineStr">
        <is>
          <t>02 SEALING NIGHT</t>
        </is>
      </c>
      <c r="D5" s="21" t="n">
        <v>50</v>
      </c>
      <c r="E5" s="11" t="n">
        <v>300</v>
      </c>
      <c r="F5" s="11" t="n">
        <v>500</v>
      </c>
      <c r="G5" s="11" t="n">
        <v>1000</v>
      </c>
      <c r="H5" s="11" t="n">
        <v>500</v>
      </c>
      <c r="I5" s="11" t="n">
        <v>800</v>
      </c>
      <c r="J5" s="11" t="n">
        <v>0</v>
      </c>
      <c r="K5" s="15">
        <f>SUM(E5:J5)</f>
        <v/>
      </c>
      <c r="L5" s="15">
        <f>K5*D5</f>
        <v/>
      </c>
      <c r="M5" s="22" t="inlineStr">
        <is>
          <t>初回製造</t>
        </is>
      </c>
    </row>
    <row r="6">
      <c r="A6" s="19" t="inlineStr">
        <is>
          <t>LOT-2026-001</t>
        </is>
      </c>
      <c r="B6" s="20" t="inlineStr">
        <is>
          <t>2026-03</t>
        </is>
      </c>
      <c r="C6" s="19" t="inlineStr">
        <is>
          <t>03 PASSED DOWN</t>
        </is>
      </c>
      <c r="D6" s="21" t="n">
        <v>50</v>
      </c>
      <c r="E6" s="11" t="n">
        <v>300</v>
      </c>
      <c r="F6" s="11" t="n">
        <v>500</v>
      </c>
      <c r="G6" s="11" t="n">
        <v>1000</v>
      </c>
      <c r="H6" s="11" t="n">
        <v>500</v>
      </c>
      <c r="I6" s="11" t="n">
        <v>800</v>
      </c>
      <c r="J6" s="11" t="n">
        <v>0</v>
      </c>
      <c r="K6" s="15">
        <f>SUM(E6:J6)</f>
        <v/>
      </c>
      <c r="L6" s="15">
        <f>K6*D6</f>
        <v/>
      </c>
      <c r="M6" s="22" t="inlineStr">
        <is>
          <t>初回製造</t>
        </is>
      </c>
    </row>
    <row r="7">
      <c r="A7" s="23" t="n"/>
      <c r="B7" s="23" t="n"/>
      <c r="C7" s="23" t="n"/>
      <c r="D7" s="23" t="n"/>
      <c r="E7" s="24" t="n"/>
      <c r="F7" s="24" t="n"/>
      <c r="G7" s="24" t="n"/>
      <c r="H7" s="24" t="n"/>
      <c r="I7" s="24" t="n"/>
      <c r="J7" s="24" t="n"/>
      <c r="K7" s="15">
        <f>SUM(E7:J7)</f>
        <v/>
      </c>
      <c r="L7" s="15">
        <f>IF(D7="",0,K7*D7)</f>
        <v/>
      </c>
      <c r="M7" s="23" t="n"/>
    </row>
    <row r="8">
      <c r="A8" s="23" t="n"/>
      <c r="B8" s="23" t="n"/>
      <c r="C8" s="23" t="n"/>
      <c r="D8" s="23" t="n"/>
      <c r="E8" s="24" t="n"/>
      <c r="F8" s="24" t="n"/>
      <c r="G8" s="24" t="n"/>
      <c r="H8" s="24" t="n"/>
      <c r="I8" s="24" t="n"/>
      <c r="J8" s="24" t="n"/>
      <c r="K8" s="15">
        <f>SUM(E8:J8)</f>
        <v/>
      </c>
      <c r="L8" s="15">
        <f>IF(D8="",0,K8*D8)</f>
        <v/>
      </c>
      <c r="M8" s="23" t="n"/>
    </row>
    <row r="9">
      <c r="A9" s="23" t="n"/>
      <c r="B9" s="23" t="n"/>
      <c r="C9" s="23" t="n"/>
      <c r="D9" s="23" t="n"/>
      <c r="E9" s="24" t="n"/>
      <c r="F9" s="24" t="n"/>
      <c r="G9" s="24" t="n"/>
      <c r="H9" s="24" t="n"/>
      <c r="I9" s="24" t="n"/>
      <c r="J9" s="24" t="n"/>
      <c r="K9" s="15">
        <f>SUM(E9:J9)</f>
        <v/>
      </c>
      <c r="L9" s="15">
        <f>IF(D9="",0,K9*D9)</f>
        <v/>
      </c>
      <c r="M9" s="23" t="n"/>
    </row>
    <row r="10">
      <c r="A10" s="23" t="n"/>
      <c r="B10" s="23" t="n"/>
      <c r="C10" s="23" t="n"/>
      <c r="D10" s="23" t="n"/>
      <c r="E10" s="24" t="n"/>
      <c r="F10" s="24" t="n"/>
      <c r="G10" s="24" t="n"/>
      <c r="H10" s="24" t="n"/>
      <c r="I10" s="24" t="n"/>
      <c r="J10" s="24" t="n"/>
      <c r="K10" s="15">
        <f>SUM(E10:J10)</f>
        <v/>
      </c>
      <c r="L10" s="15">
        <f>IF(D10="",0,K10*D10)</f>
        <v/>
      </c>
      <c r="M10" s="23" t="n"/>
    </row>
    <row r="11">
      <c r="C11" s="13" t="inlineStr">
        <is>
          <t>合計</t>
        </is>
      </c>
      <c r="D11" s="25">
        <f>SUM(D4:D10)</f>
        <v/>
      </c>
      <c r="E11" s="26" t="n"/>
      <c r="F11" s="26" t="n"/>
      <c r="G11" s="26" t="n"/>
      <c r="H11" s="26" t="n"/>
      <c r="I11" s="26" t="n"/>
      <c r="J11" s="26" t="n"/>
      <c r="K11" s="26" t="n"/>
      <c r="L11" s="27">
        <f>SUM(L4:L10)</f>
        <v/>
      </c>
    </row>
    <row r="13">
      <c r="A13" s="2" t="inlineStr">
        <is>
          <t>※ 新しい製造ロットは下に1行追記。香料(I列)はその時の仕入単価で更新。製造原価/本・ロット総額は自動計算。</t>
        </is>
      </c>
    </row>
  </sheetData>
  <mergeCells count="2">
    <mergeCell ref="A13:M1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委託・卸コミッション早見 ── 営業部連携用</t>
        </is>
      </c>
    </row>
    <row r="2">
      <c r="A2" s="2" t="inlineStr">
        <is>
          <t>委託先のコミッション率ごとのKIBI粗利。手数料・送料は委託先負担（店頭委託）の想定。</t>
        </is>
      </c>
    </row>
    <row r="4">
      <c r="A4" s="4" t="inlineStr">
        <is>
          <t>売価(¥)</t>
        </is>
      </c>
      <c r="B4" s="28">
        <f>'原価・チャネル別粗利'!B7</f>
        <v/>
      </c>
    </row>
    <row r="5">
      <c r="A5" s="4" t="inlineStr">
        <is>
          <t>製造原価(¥)</t>
        </is>
      </c>
      <c r="B5" s="28">
        <f>'原価・チャネル別粗利'!B21</f>
        <v/>
      </c>
    </row>
    <row r="6">
      <c r="A6" s="29" t="inlineStr">
        <is>
          <t>損益分岐コミッション率</t>
        </is>
      </c>
      <c r="B6" s="30">
        <f>1-B5/B4</f>
        <v/>
      </c>
    </row>
    <row r="8">
      <c r="A8" s="8" t="inlineStr">
        <is>
          <t>コミッション率</t>
        </is>
      </c>
      <c r="B8" s="8" t="inlineStr">
        <is>
          <t>KIBI受取(¥)</t>
        </is>
      </c>
      <c r="C8" s="8" t="inlineStr">
        <is>
          <t>製造原価(¥)</t>
        </is>
      </c>
      <c r="D8" s="8" t="inlineStr">
        <is>
          <t>粗利/本(¥)</t>
        </is>
      </c>
      <c r="E8" s="8" t="inlineStr">
        <is>
          <t>粗利率</t>
        </is>
      </c>
      <c r="F8" s="8" t="inlineStr">
        <is>
          <t>判定</t>
        </is>
      </c>
    </row>
    <row r="9">
      <c r="A9" s="31" t="n">
        <v>0.2</v>
      </c>
      <c r="B9" s="15">
        <f>$B$4*(1-A9)</f>
        <v/>
      </c>
      <c r="C9" s="15">
        <f>$B$5</f>
        <v/>
      </c>
      <c r="D9" s="15">
        <f>B9-C9</f>
        <v/>
      </c>
      <c r="E9" s="17">
        <f>IF(B9=0,0,D9/B9)</f>
        <v/>
      </c>
      <c r="F9" s="32">
        <f>IF(D9&lt;=0,"原価割れ",IF(E9&lt;0.3,"薄利",IF(A9&lt;=0.33,"可","要検討")))</f>
        <v/>
      </c>
    </row>
    <row r="10">
      <c r="A10" s="31" t="n">
        <v>0.25</v>
      </c>
      <c r="B10" s="15">
        <f>$B$4*(1-A10)</f>
        <v/>
      </c>
      <c r="C10" s="15">
        <f>$B$5</f>
        <v/>
      </c>
      <c r="D10" s="15">
        <f>B10-C10</f>
        <v/>
      </c>
      <c r="E10" s="17">
        <f>IF(B10=0,0,D10/B10)</f>
        <v/>
      </c>
      <c r="F10" s="32">
        <f>IF(D10&lt;=0,"原価割れ",IF(E10&lt;0.3,"薄利",IF(A10&lt;=0.33,"可","要検討")))</f>
        <v/>
      </c>
    </row>
    <row r="11">
      <c r="A11" s="31" t="n">
        <v>0.3</v>
      </c>
      <c r="B11" s="15">
        <f>$B$4*(1-A11)</f>
        <v/>
      </c>
      <c r="C11" s="15">
        <f>$B$5</f>
        <v/>
      </c>
      <c r="D11" s="15">
        <f>B11-C11</f>
        <v/>
      </c>
      <c r="E11" s="17">
        <f>IF(B11=0,0,D11/B11)</f>
        <v/>
      </c>
      <c r="F11" s="32">
        <f>IF(D11&lt;=0,"原価割れ",IF(E11&lt;0.3,"薄利",IF(A11&lt;=0.33,"可","要検討")))</f>
        <v/>
      </c>
    </row>
    <row r="12">
      <c r="A12" s="33" t="n">
        <v>0.33</v>
      </c>
      <c r="B12" s="34">
        <f>$B$4*(1-A12)</f>
        <v/>
      </c>
      <c r="C12" s="34">
        <f>$B$5</f>
        <v/>
      </c>
      <c r="D12" s="34">
        <f>B12-C12</f>
        <v/>
      </c>
      <c r="E12" s="35">
        <f>IF(B12=0,0,D12/B12)</f>
        <v/>
      </c>
      <c r="F12" s="36">
        <f>IF(D12&lt;=0,"原価割れ",IF(E12&lt;0.3,"薄利",IF(A12&lt;=0.33,"可","要検討")))</f>
        <v/>
      </c>
    </row>
    <row r="13">
      <c r="A13" s="31" t="n">
        <v>0.35</v>
      </c>
      <c r="B13" s="15">
        <f>$B$4*(1-A13)</f>
        <v/>
      </c>
      <c r="C13" s="15">
        <f>$B$5</f>
        <v/>
      </c>
      <c r="D13" s="15">
        <f>B13-C13</f>
        <v/>
      </c>
      <c r="E13" s="17">
        <f>IF(B13=0,0,D13/B13)</f>
        <v/>
      </c>
      <c r="F13" s="32">
        <f>IF(D13&lt;=0,"原価割れ",IF(E13&lt;0.3,"薄利",IF(A13&lt;=0.33,"可","要検討")))</f>
        <v/>
      </c>
    </row>
    <row r="14">
      <c r="A14" s="31" t="n">
        <v>0.4</v>
      </c>
      <c r="B14" s="15">
        <f>$B$4*(1-A14)</f>
        <v/>
      </c>
      <c r="C14" s="15">
        <f>$B$5</f>
        <v/>
      </c>
      <c r="D14" s="15">
        <f>B14-C14</f>
        <v/>
      </c>
      <c r="E14" s="17">
        <f>IF(B14=0,0,D14/B14)</f>
        <v/>
      </c>
      <c r="F14" s="32">
        <f>IF(D14&lt;=0,"原価割れ",IF(E14&lt;0.3,"薄利",IF(A14&lt;=0.33,"可","要検討")))</f>
        <v/>
      </c>
    </row>
    <row r="15">
      <c r="A15" s="31" t="n">
        <v>0.45</v>
      </c>
      <c r="B15" s="15">
        <f>$B$4*(1-A15)</f>
        <v/>
      </c>
      <c r="C15" s="15">
        <f>$B$5</f>
        <v/>
      </c>
      <c r="D15" s="15">
        <f>B15-C15</f>
        <v/>
      </c>
      <c r="E15" s="17">
        <f>IF(B15=0,0,D15/B15)</f>
        <v/>
      </c>
      <c r="F15" s="32">
        <f>IF(D15&lt;=0,"原価割れ",IF(E15&lt;0.3,"薄利",IF(A15&lt;=0.33,"可","要検討")))</f>
        <v/>
      </c>
    </row>
    <row r="16">
      <c r="A16" s="31" t="n">
        <v>0.5</v>
      </c>
      <c r="B16" s="15">
        <f>$B$4*(1-A16)</f>
        <v/>
      </c>
      <c r="C16" s="15">
        <f>$B$5</f>
        <v/>
      </c>
      <c r="D16" s="15">
        <f>B16-C16</f>
        <v/>
      </c>
      <c r="E16" s="17">
        <f>IF(B16=0,0,D16/B16)</f>
        <v/>
      </c>
      <c r="F16" s="32">
        <f>IF(D16&lt;=0,"原価割れ",IF(E16&lt;0.3,"薄利",IF(A16&lt;=0.33,"可","要検討")))</f>
        <v/>
      </c>
    </row>
    <row r="17">
      <c r="A17" s="31" t="n">
        <v>0.55</v>
      </c>
      <c r="B17" s="15">
        <f>$B$4*(1-A17)</f>
        <v/>
      </c>
      <c r="C17" s="15">
        <f>$B$5</f>
        <v/>
      </c>
      <c r="D17" s="15">
        <f>B17-C17</f>
        <v/>
      </c>
      <c r="E17" s="17">
        <f>IF(B17=0,0,D17/B17)</f>
        <v/>
      </c>
      <c r="F17" s="32">
        <f>IF(D17&lt;=0,"原価割れ",IF(E17&lt;0.3,"薄利",IF(A17&lt;=0.33,"可","要検討")))</f>
        <v/>
      </c>
    </row>
    <row r="18">
      <c r="A18" s="31" t="n">
        <v>0.6</v>
      </c>
      <c r="B18" s="15">
        <f>$B$4*(1-A18)</f>
        <v/>
      </c>
      <c r="C18" s="15">
        <f>$B$5</f>
        <v/>
      </c>
      <c r="D18" s="15">
        <f>B18-C18</f>
        <v/>
      </c>
      <c r="E18" s="17">
        <f>IF(B18=0,0,D18/B18)</f>
        <v/>
      </c>
      <c r="F18" s="32">
        <f>IF(D18&lt;=0,"原価割れ",IF(E18&lt;0.3,"薄利",IF(A18&lt;=0.33,"可","要検討")))</f>
        <v/>
      </c>
    </row>
    <row r="20">
      <c r="A20" s="2" t="inlineStr">
        <is>
          <t>※ 33%＝香福論（阪急）実績ライン（黄）。委託はこれを上限の目安に。損益分岐 約78% には絶対に近づけない。</t>
        </is>
      </c>
    </row>
    <row r="21">
      <c r="A21" s="2" t="inlineStr">
        <is>
          <t>※ EC・送料自社負担のケースは「原価・チャネル別粗利」シート参照。ここは委託先が手数料・送料を負担する店頭委託の想定。</t>
        </is>
      </c>
    </row>
  </sheetData>
  <mergeCells count="4">
    <mergeCell ref="A20:F20"/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2026-06-11T10:32:25Z</dcterms:created>
  <dcterms:modified xmlns:dcterms="http://purl.org/dc/terms/" xmlns:xsi="http://www.w3.org/2001/XMLSchema-instance" xsi:type="dcterms:W3CDTF">2026-06-11T10:32:25Z</dcterms:modified>
</cp:coreProperties>
</file>